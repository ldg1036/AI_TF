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xlsx" ContentType="application/vnd.openxmlformats-officedocument.spreadsheetml.shee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1_기술혁신팀\2_코드리뷰\2026_코드리뷰\20260206_천안HVAC코드리뷰_GoldenTime계산Logic\20260129_HMI_천안 HVAC 유지보수_GoldenTime_Rev1(박은진)\3.사업부검토\"/>
    </mc:Choice>
  </mc:AlternateContent>
  <bookViews>
    <workbookView xWindow="0" yWindow="0" windowWidth="28800" windowHeight="12165"/>
  </bookViews>
  <sheets>
    <sheet name="(서버) 코드 리뷰 결과서" sheetId="5" r:id="rId1"/>
  </sheets>
  <definedNames>
    <definedName name="_xlnm._FilterDatabase" localSheetId="0" hidden="1">'(서버) 코드 리뷰 결과서'!$B$17:$J$29</definedName>
    <definedName name="_xlnm.Print_Area" localSheetId="0">'(서버) 코드 리뷰 결과서'!$B$1:$J$39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5" l="1"/>
  <c r="C12" i="5"/>
  <c r="C13" i="5"/>
  <c r="C14" i="5"/>
  <c r="C15" i="5"/>
</calcChain>
</file>

<file path=xl/sharedStrings.xml><?xml version="1.0" encoding="utf-8"?>
<sst xmlns="http://schemas.openxmlformats.org/spreadsheetml/2006/main" count="157" uniqueCount="100">
  <si>
    <t>문서 버전</t>
    <phoneticPr fontId="1" type="noConversion"/>
  </si>
  <si>
    <t>대상 모듈</t>
    <phoneticPr fontId="1" type="noConversion"/>
  </si>
  <si>
    <t>대상 버전</t>
    <phoneticPr fontId="1" type="noConversion"/>
  </si>
  <si>
    <t>대상 빌드일자</t>
    <phoneticPr fontId="1" type="noConversion"/>
  </si>
  <si>
    <t>검증 담당자</t>
    <phoneticPr fontId="1" type="noConversion"/>
  </si>
  <si>
    <t>검증 확인자</t>
    <phoneticPr fontId="1" type="noConversion"/>
  </si>
  <si>
    <t>{확인자 소속사} - {확인자}</t>
    <phoneticPr fontId="1" type="noConversion"/>
  </si>
  <si>
    <t>중분류</t>
    <phoneticPr fontId="1" type="noConversion"/>
  </si>
  <si>
    <t>소분류</t>
    <phoneticPr fontId="1" type="noConversion"/>
  </si>
  <si>
    <t>Total</t>
    <phoneticPr fontId="1" type="noConversion"/>
  </si>
  <si>
    <t>N/A</t>
    <phoneticPr fontId="1" type="noConversion"/>
  </si>
  <si>
    <t>{검증자 소속사} - {검증자}</t>
    <phoneticPr fontId="1" type="noConversion"/>
  </si>
  <si>
    <t>대분류</t>
    <phoneticPr fontId="1" type="noConversion"/>
  </si>
  <si>
    <t>검증 조건</t>
    <phoneticPr fontId="1" type="noConversion"/>
  </si>
  <si>
    <t>스크립트 빌드 날짜</t>
    <phoneticPr fontId="1" type="noConversion"/>
  </si>
  <si>
    <t>스크립트 버전</t>
    <phoneticPr fontId="1" type="noConversion"/>
  </si>
  <si>
    <t>검증 결과</t>
    <phoneticPr fontId="1" type="noConversion"/>
  </si>
  <si>
    <t>DP Query 최적화 구현</t>
    <phoneticPr fontId="1" type="noConversion"/>
  </si>
  <si>
    <t>적절한 DP 처리 함수 사용</t>
    <phoneticPr fontId="1" type="noConversion"/>
  </si>
  <si>
    <t>쿼리 주석 처리</t>
    <phoneticPr fontId="1" type="noConversion"/>
  </si>
  <si>
    <t xml:space="preserve"> 비고</t>
    <phoneticPr fontId="1" type="noConversion"/>
  </si>
  <si>
    <t>Event, Ctrl Manager 이벤트 교환 횟수 최소화</t>
    <phoneticPr fontId="1" type="noConversion"/>
  </si>
  <si>
    <t>성능</t>
    <phoneticPr fontId="1" type="noConversion"/>
  </si>
  <si>
    <t>OK</t>
    <phoneticPr fontId="1" type="noConversion"/>
  </si>
  <si>
    <t>NG</t>
    <phoneticPr fontId="1" type="noConversion"/>
  </si>
  <si>
    <t>코드 리뷰 결과서</t>
    <phoneticPr fontId="1" type="noConversion"/>
  </si>
  <si>
    <t>승인</t>
    <phoneticPr fontId="1" type="noConversion"/>
  </si>
  <si>
    <t>DB</t>
    <phoneticPr fontId="1" type="noConversion"/>
  </si>
  <si>
    <t>예외처리</t>
    <phoneticPr fontId="1" type="noConversion"/>
  </si>
  <si>
    <t xml:space="preserve">1차 검증 </t>
    <phoneticPr fontId="1" type="noConversion"/>
  </si>
  <si>
    <t>DB Query 작성 기준</t>
    <phoneticPr fontId="1" type="noConversion"/>
  </si>
  <si>
    <t>바인딩 쿼리 처리</t>
    <phoneticPr fontId="1" type="noConversion"/>
  </si>
  <si>
    <t>공통</t>
  </si>
  <si>
    <t>예외처리</t>
  </si>
  <si>
    <t>스트립트 개선</t>
  </si>
  <si>
    <t>하드코딩 지양</t>
    <phoneticPr fontId="1" type="noConversion"/>
  </si>
  <si>
    <t>코드리뷰 결과 요약</t>
    <phoneticPr fontId="1" type="noConversion"/>
  </si>
  <si>
    <t>DB Query Error</t>
    <phoneticPr fontId="1" type="noConversion"/>
  </si>
  <si>
    <t>쿼리 검증</t>
    <phoneticPr fontId="1" type="noConversion"/>
  </si>
  <si>
    <t>Try, Catch 예외처리</t>
    <phoneticPr fontId="1" type="noConversion"/>
  </si>
  <si>
    <t>SKIP</t>
    <phoneticPr fontId="1" type="noConversion"/>
  </si>
  <si>
    <t>N/A</t>
  </si>
  <si>
    <t xml:space="preserve">DP 함수 예외 처리 </t>
    <phoneticPr fontId="1" type="noConversion"/>
  </si>
  <si>
    <t>시스템 부하 
및 
성능 최적화</t>
  </si>
  <si>
    <t>Loop문 내에 처리 조건</t>
  </si>
  <si>
    <r>
      <rPr>
        <b/>
        <sz val="11"/>
        <color theme="1"/>
        <rFont val="맑은 고딕"/>
        <family val="2"/>
        <scheme val="minor"/>
      </rPr>
      <t>* 검증 "SKIP" 대상</t>
    </r>
    <r>
      <rPr>
        <sz val="11"/>
        <color theme="1"/>
        <rFont val="맑은 고딕"/>
        <family val="2"/>
        <charset val="129"/>
        <scheme val="minor"/>
      </rPr>
      <t xml:space="preserve"> : 불합리 사항이나 변경 시 기존 다른 코드에 영향을 미치는 코드에 대해서 SKIP함.</t>
    </r>
  </si>
  <si>
    <t>* 권장 사항
  - Value Change 시뮬레이션 테스트를 통해 Callback함수의 병목 여부를 사전 테스트 권장. 
    : 구현 로직 특성 또는 DP-Function영향성으로 인한 Over Spec은 코드리뷰로 판단이 불가함.
* DP Group 확인 사항 (WinCC OA 3.12 이하 대상)
  - DP GRoup을 신규 생성하여 사용하는 경우 서버 프로젝트 재시작 필요
    (새로 생성한 DP Group은 대상이 변경되면 dpQueryConnectSingle 에서 확인 되지 않는 현상)</t>
    <phoneticPr fontId="1" type="noConversion"/>
  </si>
  <si>
    <t>스크립트 Active 동작 조건 확인</t>
    <phoneticPr fontId="1" type="noConversion"/>
  </si>
  <si>
    <t>Raima DB 증가 방지</t>
    <phoneticPr fontId="1" type="noConversion"/>
  </si>
  <si>
    <t>스크립트 이력 작성 확인</t>
    <phoneticPr fontId="1" type="noConversion"/>
  </si>
  <si>
    <t>메모리 누수 체크</t>
    <phoneticPr fontId="1" type="noConversion"/>
  </si>
  <si>
    <t>config 항목 정합성 확인</t>
    <phoneticPr fontId="1" type="noConversion"/>
  </si>
  <si>
    <t>* 로그 등급 분류 설명
 - INFO : 스크립트의 실행 과정을 로그로 저장, 사용자가 꼭 알아야하는 시작, 종료, 설정 정보를 기록하여 스크립트가 정상적으로 진행되는지를 파악하기 위한 로그
 - DBG1 : 이벤트 발생시 기록하는 디버그 로그, 특정 기능의 시작, 종료 등과 같이 디버깅에 도움을 주지만 자주발생하지 않는 상황에 작성
 - DBG2 : 상세 데이터를 확인하기 위한 디버그 로그, 데이터 값이나 변수의 상세 상태를 기록하여 문제 발생시 정확한 원인을 파악하는데 사용
 - WARN : 오류는 아니지만 예상치 못한 동작이나 잠재적인 문제를 기록, 스크립트는 실행하지만 주의가 필요한 상황에 사용
 - ERR : 비정상적인 동작이나 오류가 발생했을 때 기록, 예외처리나 정상적인 흐름을 벗어나는 심각만 문제에 로그를 작성</t>
    <phoneticPr fontId="1" type="noConversion"/>
  </si>
  <si>
    <t>* 로직에 따라 적용 여부 결정 
  - Active 조건 선택 : ACTIVE, BOTH, HOST1, HOST2</t>
    <phoneticPr fontId="1" type="noConversion"/>
  </si>
  <si>
    <t xml:space="preserve">
* 3.18~3.20 패치 이후에 DPT IN 사용 가능한 패치 구분 필요
  : DPT IN 문제 해결 패치 (DPT IN절 사용 시 DP Connection 범위가 비정상 적용)
   →3.18 P32 버전
   →3.19 P20 버전
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</si>
  <si>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
  1) 스크립트 동작 Active 조건이 맞는 경우에만 Logic 수행</t>
    </r>
    <r>
      <rPr>
        <sz val="11"/>
        <rFont val="맑은 고딕"/>
        <family val="3"/>
        <charset val="129"/>
        <scheme val="minor"/>
      </rPr>
      <t xml:space="preserve">
     - 이중화(P,S) 프로젝트 환경에서 Passive 서버의 중복 실행으로 문제될 수 있는 구문은 Active 조건 처리 필요
       e.g) DB 중복 데이터 저장, dpSet 중복 실행 등
</t>
    </r>
    <phoneticPr fontId="1" type="noConversion"/>
  </si>
  <si>
    <t>디버깅용 로그 작성 확인</t>
    <phoneticPr fontId="1" type="noConversion"/>
  </si>
  <si>
    <t xml:space="preserve">  1) 이력(INFO), 에러(WARN,ERR), 디버깅(DBG1, DBG2) 조건에 맞는 로그가 작성되었는지 확인</t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</si>
  <si>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불필요한 기능 / 변수 / 연산 등이 없는가?</t>
    </r>
    <r>
      <rPr>
        <sz val="11"/>
        <rFont val="맑은 고딕"/>
        <family val="3"/>
        <charset val="129"/>
        <scheme val="minor"/>
      </rPr>
      <t xml:space="preserve">
    - 필요 없는 기능, 변수, 연산이 있는 경우 코드 삭제 필요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</si>
  <si>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스크립트 및 라이브러리 버전 이력을 작성하였는가?</t>
    </r>
    <r>
      <rPr>
        <sz val="11"/>
        <rFont val="맑은 고딕"/>
        <family val="3"/>
        <charset val="129"/>
        <scheme val="minor"/>
      </rPr>
      <t xml:space="preserve">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</si>
  <si>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반복문(while) 내부에 delay 처리를 하였는가?</t>
    </r>
    <r>
      <rPr>
        <sz val="11"/>
        <rFont val="맑은 고딕"/>
        <family val="3"/>
        <charset val="129"/>
        <scheme val="minor"/>
      </rPr>
      <t xml:space="preserve">
    - delay 없이 무한 루프 실행 시 CPU를 지속적으로 점유하여 부하율 증가
</t>
    </r>
    <r>
      <rPr>
        <b/>
        <sz val="11"/>
        <rFont val="맑은 고딕"/>
        <family val="3"/>
        <charset val="129"/>
        <scheme val="minor"/>
      </rPr>
      <t xml:space="preserve">  2) delay 처리를 Active 조건문 밖에 배치하였는가?</t>
    </r>
    <r>
      <rPr>
        <sz val="11"/>
        <rFont val="맑은 고딕"/>
        <family val="3"/>
        <charset val="129"/>
        <scheme val="minor"/>
      </rPr>
      <t xml:space="preserve">
    - Active 조건 안에 delay를 작성하면 Passive 서버에는 적용되지 않아 Event Manager 부하 발생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</si>
  <si>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DP 감시 유형에 맞는 DP 함수를 처리하였는가?</t>
    </r>
    <r>
      <rPr>
        <sz val="11"/>
        <rFont val="맑은 고딕"/>
        <family val="3"/>
        <charset val="129"/>
        <scheme val="minor"/>
      </rPr>
      <t xml:space="preserve">
    - [유형1] 변경 즉시 처리해야하는 경우 (비동기 처리)
      : dpConnect or dpQueryConnectSingle의 callback 함수에서 처리
    - [유형2] 주기적으로 해당 시간의 값을 처리 해야하는 경우
      : Loop(while) 구문에 dpGet, dpQuery로 데이터 처리
</t>
    </r>
    <phoneticPr fontId="1" type="noConversion"/>
  </si>
  <si>
    <r>
      <t xml:space="preserve"> 
</t>
    </r>
    <r>
      <rPr>
        <b/>
        <sz val="11"/>
        <rFont val="맑은 고딕"/>
        <family val="3"/>
        <charset val="129"/>
        <scheme val="minor"/>
      </rPr>
      <t xml:space="preserve">  1) 일괄 dpGet/ dpSet 처리가 되었는가?</t>
    </r>
    <r>
      <rPr>
        <sz val="11"/>
        <rFont val="맑은 고딕"/>
        <family val="3"/>
        <charset val="129"/>
        <scheme val="minor"/>
      </rPr>
      <t xml:space="preserve">
    - Event Manager에 처리 요청 이벤트가 많을 수록 부하 상승
</t>
    </r>
    <r>
      <rPr>
        <b/>
        <sz val="11"/>
        <rFont val="맑은 고딕"/>
        <family val="3"/>
        <charset val="129"/>
        <scheme val="minor"/>
      </rPr>
      <t xml:space="preserve">  2) 값 변경이 있는 경우에만 dpSet 처리하도록 하였는가?</t>
    </r>
    <r>
      <rPr>
        <sz val="11"/>
        <rFont val="맑은 고딕"/>
        <family val="3"/>
        <charset val="129"/>
        <scheme val="minor"/>
      </rPr>
      <t xml:space="preserve">
    -  Event Manager에 처리 요청 이벤트가 많을 수록 부하 상승 (EV 부하 최소화)
     : 동일한 값으로 dpSet 처리는 로직에서 제외 처리
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</si>
  <si>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2) 비동기 처리(dpConnect, dpQueryConnectSing) 시, Callback함수의 병목 요소는 없는가?</t>
    </r>
    <r>
      <rPr>
        <sz val="11"/>
        <rFont val="맑은 고딕"/>
        <family val="3"/>
        <charset val="129"/>
        <scheme val="minor"/>
      </rPr>
      <t xml:space="preserve">
     - Callback함수 내 이벤트 처리의 병목 발생 요소 최소화
      : delay() 사용 지양
      : 처리 시간 소요되는 작업은 별도 스레드/큐 사용 필요</t>
    </r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</si>
  <si>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1) DP 알람 설정 값 변경 시 dpSetTimed(0, dpe, value)를 사용하였는가?</t>
    </r>
    <r>
      <rPr>
        <sz val="11"/>
        <rFont val="맑은 고딕"/>
        <family val="3"/>
        <charset val="129"/>
        <scheme val="minor"/>
      </rPr>
      <t xml:space="preserve">
     - dpSetTimed를 사용하지 않을 경우 설정 값에 대한 변경 이력이 Raima에 기록되어 Raima DB 증가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</si>
  <si>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가변 길이(mapping, dyn) 타입의 변수를 재사용 시 Clear 하였는가?</t>
    </r>
    <r>
      <rPr>
        <sz val="11"/>
        <rFont val="맑은 고딕"/>
        <family val="3"/>
        <charset val="129"/>
        <scheme val="minor"/>
      </rPr>
      <t xml:space="preserve">
     - 초기화 누락 시 메모리 누수 발생 
       : 반복문 또는 전역변수로 재사용되는 경우 사용 시 Clear 필요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</si>
  <si>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 1) DB Connection 이 끊긴 경우 Reconnection 처리를 하였는가?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  2) DB Query가 실패한 경우 로깅 기능을 구현하였는가?</t>
    </r>
    <r>
      <rPr>
        <sz val="11"/>
        <rFont val="맑은 고딕"/>
        <family val="3"/>
        <charset val="129"/>
        <scheme val="minor"/>
      </rPr>
      <t xml:space="preserve">
     - [로깅 유형1] 표준라이브러리 사용 시, writeLog() 함수 사용
     - [로깅 유형2] 표준라이브러리 미 사용 시, DebugTN() 함수 사용
</t>
    </r>
    <phoneticPr fontId="1" type="noConversion"/>
  </si>
  <si>
    <r>
      <t xml:space="preserve">
</t>
    </r>
    <r>
      <rPr>
        <sz val="11"/>
        <rFont val="맑은 고딕"/>
        <family val="3"/>
        <charset val="129"/>
        <scheme val="minor"/>
      </rPr>
      <t xml:space="preserve"> * 로깅 작성 예시
    - [로깅 유형1] writeLog(g_script_name, "load_spec_info() - DB Query Fail. query = " + query + ", params = " + dsParams, LV_WARN);
    - [로깅 유형2] DebugTN("load_spec_info()","DB Query Fail. query =" + sql, ", Params = ", dsParams_appr);
</t>
    </r>
    <phoneticPr fontId="1" type="noConversion"/>
  </si>
  <si>
    <r>
      <t xml:space="preserve">
</t>
    </r>
    <r>
      <rPr>
        <b/>
        <sz val="11"/>
        <color theme="1"/>
        <rFont val="맑은 고딕"/>
        <family val="3"/>
        <charset val="129"/>
        <scheme val="minor"/>
      </rPr>
      <t xml:space="preserve">  1) DP 함수를 호출한 경우 결과에 따라 예외처리를 하였는가?</t>
    </r>
    <r>
      <rPr>
        <sz val="11"/>
        <color theme="1"/>
        <rFont val="맑은 고딕"/>
        <family val="3"/>
        <charset val="129"/>
        <scheme val="minor"/>
      </rPr>
      <t xml:space="preserve">
    (e.g : dpSet, dpSetTimed,  dpGet, dpQuery, dpQueryConnectSinlge)</t>
    </r>
    <r>
      <rPr>
        <sz val="11"/>
        <rFont val="맑은 고딕"/>
        <family val="3"/>
        <charset val="129"/>
        <scheme val="minor"/>
      </rPr>
      <t xml:space="preserve">
</t>
    </r>
    <phoneticPr fontId="1" type="noConversion"/>
  </si>
  <si>
    <t xml:space="preserve">  1) 함수 내에 Try, Catch 예외 처리가 되어 있는가?
  2)  반복문 내에 예외 처리가 추가 되어 있는가?</t>
    <phoneticPr fontId="1" type="noConversion"/>
  </si>
  <si>
    <t xml:space="preserve"> * Query 주석 예시
  - INSERT INTO /*AlarmInsert.get_occur_query_20211029_HWC*/</t>
    <phoneticPr fontId="1" type="noConversion"/>
  </si>
  <si>
    <r>
      <t xml:space="preserve">  
</t>
    </r>
    <r>
      <rPr>
        <b/>
        <sz val="11"/>
        <rFont val="맑은 고딕"/>
        <family val="3"/>
        <charset val="129"/>
        <scheme val="minor"/>
      </rPr>
      <t xml:space="preserve">   1) DP Query의 FROM절의 범위를 최소화하여 작성하였는가?</t>
    </r>
    <r>
      <rPr>
        <sz val="11"/>
        <rFont val="맑은 고딕"/>
        <family val="3"/>
        <charset val="129"/>
        <scheme val="minor"/>
      </rPr>
      <t xml:space="preserve">
     - FROM절 범위를 최소화 하지 않을 경우 Event Manager 부하 원인     
      : "**" or "*.*" 등 전체를 포함하는 쿼리는 지양
</t>
    </r>
    <r>
      <rPr>
        <b/>
        <sz val="11"/>
        <rFont val="맑은 고딕"/>
        <family val="3"/>
        <charset val="129"/>
        <scheme val="minor"/>
      </rPr>
      <t xml:space="preserve">   2) DP Query의 Where절에 DP Type조건을 기준("=")에 맞게 작성하였는가? </t>
    </r>
    <r>
      <rPr>
        <sz val="11"/>
        <rFont val="맑은 고딕"/>
        <family val="3"/>
        <charset val="129"/>
        <scheme val="minor"/>
      </rPr>
      <t xml:space="preserve">
     - Where에서 "=" 이 가장 성능 좋음 &amp; IN 절 Bug 로 인한 사용 지양  
     - Where 절에 pseudo Code 추가하여 DPT 조건을 작성 필요 (DPT Type 삭제</t>
    </r>
    <r>
      <rPr>
        <sz val="11"/>
        <rFont val="맑은 고딕"/>
        <family val="3"/>
        <charset val="129"/>
      </rPr>
      <t xml:space="preserve">→추가 시 필요)
        </t>
    </r>
    <r>
      <rPr>
        <sz val="11"/>
        <rFont val="맑은 고딕"/>
        <family val="3"/>
        <charset val="129"/>
        <scheme val="minor"/>
      </rPr>
      <t xml:space="preserve">e.g) WHERE _DPT=”AI” AND 202506181339=202506181339
     - DPT 2개 이상 → 각 DPT별로 개별 쿼리 작성          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</si>
  <si>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DB Query를 바인딩 쿼리로 작성하였는가?</t>
    </r>
    <r>
      <rPr>
        <sz val="11"/>
        <rFont val="맑은 고딕"/>
        <family val="3"/>
        <charset val="129"/>
        <scheme val="minor"/>
      </rPr>
      <t xml:space="preserve">
     - Query Parsing 최소화 및 실행 계획 재사용을 통한 성능 향상 위해 바인딩 쿼리 사용
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</si>
  <si>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DB Query에 주석을 추가하였는가?</t>
    </r>
    <r>
      <rPr>
        <sz val="11"/>
        <rFont val="맑은 고딕"/>
        <family val="3"/>
        <charset val="129"/>
        <scheme val="minor"/>
      </rPr>
      <t xml:space="preserve">
    - DB Query에 기능, 날짜, 작성 주체(HWC) 정보를 주석으로 작성
      e.g) 기능명_날짜_HWC
</t>
    </r>
    <phoneticPr fontId="1" type="noConversion"/>
  </si>
  <si>
    <t xml:space="preserve"> * Query 검증 결과서</t>
    <phoneticPr fontId="1" type="noConversion"/>
  </si>
  <si>
    <r>
      <t xml:space="preserve">  1) 쿼리 검증 결과서를 작성하였는가?</t>
    </r>
    <r>
      <rPr>
        <sz val="11"/>
        <rFont val="맑은 고딕"/>
        <family val="3"/>
        <charset val="129"/>
        <scheme val="minor"/>
      </rPr>
      <t xml:space="preserve">
    - Query 성능 확인 (첨부파일 참고)</t>
    </r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</si>
  <si>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config 항목별 처리 로직이 올바른가?</t>
    </r>
    <r>
      <rPr>
        <sz val="11"/>
        <rFont val="맑은 고딕"/>
        <family val="3"/>
        <charset val="129"/>
        <scheme val="minor"/>
      </rPr>
      <t xml:space="preserve">
    - 필수 항목 config → Error 로그 출력 후 스크립트 종료
    - 선택 항목 config → 기본값 적용 후 스크립트 실행
</t>
    </r>
    <phoneticPr fontId="1" type="noConversion"/>
  </si>
  <si>
    <t xml:space="preserve"> * 예외처리가 필요한 경우</t>
    <phoneticPr fontId="1" type="noConversion"/>
  </si>
  <si>
    <t xml:space="preserve"> * 예외처리가 필요한 경우</t>
    <phoneticPr fontId="1" type="noConversion"/>
  </si>
  <si>
    <r>
      <rPr>
        <b/>
        <sz val="11"/>
        <rFont val="맑은 고딕"/>
        <family val="3"/>
        <charset val="129"/>
        <scheme val="minor"/>
      </rPr>
      <t xml:space="preserve">  1) 명칭으로 역할 및 용도를 파악할 수 있는가?</t>
    </r>
    <r>
      <rPr>
        <sz val="11"/>
        <rFont val="맑은 고딕"/>
        <family val="3"/>
        <charset val="129"/>
        <scheme val="minor"/>
      </rPr>
      <t xml:space="preserve">
</t>
    </r>
    <r>
      <rPr>
        <b/>
        <sz val="11"/>
        <rFont val="맑은 고딕"/>
        <family val="3"/>
        <charset val="129"/>
        <scheme val="minor"/>
      </rPr>
      <t xml:space="preserve">  2) 코드 명명 규칙을 준수하였는가? </t>
    </r>
    <r>
      <rPr>
        <sz val="11"/>
        <rFont val="맑은 고딕"/>
        <family val="3"/>
        <charset val="129"/>
        <scheme val="minor"/>
      </rPr>
      <t xml:space="preserve">
    - 변경되지 않는 상수 값은 대문자로 작성
    - 적절한 접두사, 접미사를 사용하여 작성
</t>
    </r>
    <r>
      <rPr>
        <b/>
        <sz val="11"/>
        <rFont val="맑은 고딕"/>
        <family val="3"/>
        <charset val="129"/>
        <scheme val="minor"/>
      </rPr>
      <t xml:space="preserve">
  3) 코딩 스타일을 준수하여 작성하였는가?</t>
    </r>
    <r>
      <rPr>
        <sz val="11"/>
        <rFont val="맑은 고딕"/>
        <family val="3"/>
        <charset val="129"/>
        <scheme val="minor"/>
      </rPr>
      <t xml:space="preserve">
    - 들여쓰기 준수하여 작성
    - 각 Logic별 흐름을 주석으로 작성
    - 함수의 용도와 매개변수 내용을 주석으로 작성</t>
    </r>
    <phoneticPr fontId="1" type="noConversion"/>
  </si>
  <si>
    <t xml:space="preserve"> * 코드 명명 규칙 예
  - 적절한 접두사, 접미사 사용 작성 방법
    1) 전역 변수 :  "g_" 접두사를 사용 ( g_map_tag_info)
    2) 인덱스 상수 변수 :  "IDX_"를 접두사로 사용 (IDX_TAG_START)
    3) config 설정 변수 : "cfg_" 접두사로 사용 (cfg_site_id)
    4) 시간 단위 변수 : "_ms" 접미사로 사용 (delay_ms, delay_sec)
    5) Callback 함수명 : "CB_" 접두사를 사용 (CB_Value)</t>
    <phoneticPr fontId="1" type="noConversion"/>
  </si>
  <si>
    <t>문서버전(배포날짜)</t>
    <phoneticPr fontId="1" type="noConversion"/>
  </si>
  <si>
    <t>OK</t>
  </si>
  <si>
    <t>SKIP</t>
  </si>
  <si>
    <t>GoldenTime.ctl</t>
    <phoneticPr fontId="1" type="noConversion"/>
  </si>
  <si>
    <t>NG</t>
  </si>
  <si>
    <t xml:space="preserve">2차 검증 </t>
    <phoneticPr fontId="1" type="noConversion"/>
  </si>
  <si>
    <t>김정호, 김진배</t>
    <phoneticPr fontId="1" type="noConversion"/>
  </si>
  <si>
    <t>v2.0(2025.11.04)</t>
    <phoneticPr fontId="1" type="noConversion"/>
  </si>
  <si>
    <t>v1.00</t>
    <phoneticPr fontId="1" type="noConversion"/>
  </si>
  <si>
    <t>2026.01.27</t>
    <phoneticPr fontId="1" type="noConversion"/>
  </si>
  <si>
    <t xml:space="preserve">3차 검증 </t>
    <phoneticPr fontId="1" type="noConversion"/>
  </si>
  <si>
    <r>
      <t xml:space="preserve">
</t>
    </r>
    <r>
      <rPr>
        <b/>
        <sz val="11"/>
        <rFont val="맑은 고딕"/>
        <family val="3"/>
        <charset val="129"/>
        <scheme val="minor"/>
      </rPr>
      <t xml:space="preserve">  1) 하드코딩을 사용하지 않았는가?</t>
    </r>
    <r>
      <rPr>
        <sz val="11"/>
        <rFont val="맑은 고딕"/>
        <family val="3"/>
        <charset val="129"/>
        <scheme val="minor"/>
      </rPr>
      <t xml:space="preserve">
     : Tag, 파라미터 등과 같이 서버별로 변경될 수 있는 값은 config로 처리 
       (하드 코딩으로 작성되어 있는 경우 config로 변경 필요)
</t>
    </r>
    <phoneticPr fontId="1" type="noConversion"/>
  </si>
  <si>
    <t xml:space="preserve"> - 각 Step별 주석 추가 </t>
    <phoneticPr fontId="1" type="noConversion"/>
  </si>
  <si>
    <t>[1차검토]
 - 일괄처리
[2차검토]
 - 이상없음
[3차 검토]
 - dpGet 일괄 처리 필요 (GoldenTimeCalculation 함수)</t>
    <phoneticPr fontId="1" type="noConversion"/>
  </si>
  <si>
    <t>- Index 정보 Define 변수 설정 권장
 - 0.001과 같은 상수 값 config 설정 or Define 설정 권장
   (수정 가능성 있는 경우 config 권장)</t>
    <phoneticPr fontId="1" type="noConversion"/>
  </si>
  <si>
    <t>명명 규칙 및 코딩 스타일 준수 확인</t>
    <phoneticPr fontId="1" type="noConversion"/>
  </si>
  <si>
    <t>불필요한 코드 지양</t>
    <phoneticPr fontId="1" type="noConversion"/>
  </si>
  <si>
    <t>[1차검토]
 - 일괄처리
[2차검토]
 - 이상없음
[3차검토]
 - 이벤트 교환 횟수 최소화
 - 명명 규칙 및 코딩 스타일 준수 확인
 - 하드코딩 지양
 - 불필요한 코드 지양</t>
    <phoneticPr fontId="1" type="noConversion"/>
  </si>
  <si>
    <t xml:space="preserve"> - processAndSave 함수 호출 시 groupName 정보로 데이터 조회 방법 권장
 - 함수 리턴 타입으로 성공/실패 확인되도록 수정 권장(processAndSave)
 - buffer 값 조회 코드 수정 권장(processAndSave)
 - 스크립트 초기화 및 config 함수 첨부파일 사용 권장(코드 최소화)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</si>
</sst>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rgb="FF333333"/>
      <name val="Verdana"/>
      <family val="2"/>
    </font>
    <font>
      <b/>
      <sz val="9"/>
      <color rgb="FF333333"/>
      <name val="Verdana"/>
      <family val="2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7" fillId="0" borderId="0" xfId="0" applyFont="1">
      <alignment vertical="center"/>
    </xf>
    <xf numFmtId="0" fontId="0" fillId="0" borderId="0" xfId="0">
      <alignment vertical="center"/>
    </xf>
    <xf numFmtId="0" fontId="0" fillId="5" borderId="1" xfId="0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4" fillId="5" borderId="1" xfId="0" applyFont="1" applyFill="1" applyBorder="1">
      <alignment vertical="center"/>
    </xf>
    <xf numFmtId="0" fontId="10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9" fillId="0" borderId="21" xfId="0" applyFont="1" applyFill="1" applyBorder="1" applyAlignment="1">
      <alignment vertical="center" wrapText="1"/>
    </xf>
    <xf numFmtId="0" fontId="13" fillId="0" borderId="21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vertical="center" wrapText="1"/>
    </xf>
    <xf numFmtId="0" fontId="9" fillId="0" borderId="12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horizontal="left" vertical="center" wrapText="1"/>
    </xf>
    <xf numFmtId="0" fontId="0" fillId="0" borderId="13" xfId="0" applyFill="1" applyBorder="1" applyAlignment="1">
      <alignment vertical="center" wrapText="1"/>
    </xf>
    <xf numFmtId="0" fontId="9" fillId="0" borderId="15" xfId="0" applyFont="1" applyFill="1" applyBorder="1" applyAlignment="1">
      <alignment vertical="center" wrapText="1"/>
    </xf>
    <xf numFmtId="0" fontId="13" fillId="0" borderId="15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wrapText="1"/>
    </xf>
    <xf numFmtId="0" fontId="0" fillId="0" borderId="16" xfId="0" applyFill="1" applyBorder="1" applyAlignment="1">
      <alignment vertical="center" wrapText="1"/>
    </xf>
    <xf numFmtId="0" fontId="13" fillId="0" borderId="12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7" fillId="4" borderId="4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21" xfId="0" applyFont="1" applyFill="1" applyBorder="1" applyAlignment="1">
      <alignment horizontal="left" vertical="center" indent="1"/>
    </xf>
    <xf numFmtId="0" fontId="12" fillId="0" borderId="1" xfId="0" applyFont="1" applyFill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indent="1"/>
    </xf>
    <xf numFmtId="0" fontId="12" fillId="0" borderId="12" xfId="0" applyFont="1" applyFill="1" applyBorder="1" applyAlignment="1">
      <alignment horizontal="left" vertical="center" wrapText="1" indent="1"/>
    </xf>
    <xf numFmtId="0" fontId="12" fillId="0" borderId="12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12" xfId="0" quotePrefix="1" applyFont="1" applyFill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2" fillId="0" borderId="20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2" xfId="0" applyFont="1" applyFill="1" applyBorder="1" applyAlignment="1">
      <alignment horizontal="left" vertical="center" indent="1"/>
    </xf>
    <xf numFmtId="0" fontId="12" fillId="0" borderId="19" xfId="0" applyFont="1" applyFill="1" applyBorder="1" applyAlignment="1">
      <alignment horizontal="left" vertical="center" indent="1"/>
    </xf>
  </cellXfs>
  <cellStyles count="1">
    <cellStyle name="표준" xfId="0" builtinId="0"/>
  </cellStyles>
  <dxfs count="20"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  <dxf>
      <font>
        <b/>
        <i val="0"/>
        <color rgb="FFFF0000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1590675</xdr:colOff>
          <xdr:row>27</xdr:row>
          <xdr:rowOff>171450</xdr:rowOff>
        </xdr:from>
        <xdr:to>
          <xdr:col>9</xdr:col>
          <xdr:colOff>2028825</xdr:colOff>
          <xdr:row>27</xdr:row>
          <xdr:rowOff>1076325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2326823</xdr:colOff>
          <xdr:row>4</xdr:row>
          <xdr:rowOff>176893</xdr:rowOff>
        </xdr:from>
        <xdr:to>
          <xdr:col>8</xdr:col>
          <xdr:colOff>3374573</xdr:colOff>
          <xdr:row>7</xdr:row>
          <xdr:rowOff>78922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3551464</xdr:colOff>
          <xdr:row>4</xdr:row>
          <xdr:rowOff>163286</xdr:rowOff>
        </xdr:from>
        <xdr:to>
          <xdr:col>8</xdr:col>
          <xdr:colOff>4865914</xdr:colOff>
          <xdr:row>7</xdr:row>
          <xdr:rowOff>65315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2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Excel_____.xlsx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2:K53"/>
  <sheetViews>
    <sheetView tabSelected="1" zoomScale="70" zoomScaleNormal="70" zoomScaleSheetLayoutView="40" workbookViewId="0">
      <selection activeCell="I18" sqref="I18"/>
    </sheetView>
  </sheetViews>
  <sheetFormatPr defaultColWidth="9" defaultRowHeight="16.5" x14ac:dyDescent="0.3"/>
  <cols>
    <col min="1" max="1" width="9" style="7"/>
    <col min="2" max="2" width="10.25" style="7" bestFit="1" customWidth="1"/>
    <col min="3" max="3" width="28.625" style="7" customWidth="1"/>
    <col min="4" max="4" width="43.875" style="7" customWidth="1"/>
    <col min="5" max="5" width="104.625" style="39" bestFit="1" customWidth="1"/>
    <col min="6" max="6" width="12.25" style="39" customWidth="1"/>
    <col min="7" max="8" width="9.875" style="7" customWidth="1"/>
    <col min="9" max="9" width="72.375" style="7" customWidth="1"/>
    <col min="10" max="10" width="139.25" style="7" customWidth="1"/>
    <col min="11" max="11" width="38.5" style="7" bestFit="1" customWidth="1"/>
    <col min="12" max="16384" width="9" style="7"/>
  </cols>
  <sheetData>
    <row r="2" spans="2:10" ht="33.75" x14ac:dyDescent="0.3">
      <c r="B2" s="62" t="s">
        <v>25</v>
      </c>
      <c r="C2" s="62"/>
      <c r="D2" s="62"/>
      <c r="E2" s="62"/>
      <c r="F2" s="62"/>
      <c r="G2" s="62"/>
      <c r="H2" s="62"/>
      <c r="I2" s="62"/>
      <c r="J2" s="62"/>
    </row>
    <row r="4" spans="2:10" x14ac:dyDescent="0.3">
      <c r="B4" s="9" t="s">
        <v>0</v>
      </c>
      <c r="C4" s="1" t="s">
        <v>88</v>
      </c>
      <c r="D4" s="2" t="s">
        <v>81</v>
      </c>
      <c r="G4" s="39"/>
      <c r="H4" s="63" t="s">
        <v>36</v>
      </c>
      <c r="I4" s="64"/>
      <c r="J4" s="12" t="s">
        <v>26</v>
      </c>
    </row>
    <row r="5" spans="2:10" x14ac:dyDescent="0.3">
      <c r="B5" s="9" t="s">
        <v>1</v>
      </c>
      <c r="C5" s="13" t="s">
        <v>84</v>
      </c>
      <c r="D5" s="1" t="s">
        <v>1</v>
      </c>
      <c r="G5" s="39"/>
      <c r="H5" s="65" t="s">
        <v>98</v>
      </c>
      <c r="I5" s="66"/>
      <c r="J5" s="67"/>
    </row>
    <row r="6" spans="2:10" x14ac:dyDescent="0.3">
      <c r="B6" s="9" t="s">
        <v>2</v>
      </c>
      <c r="C6" s="1" t="s">
        <v>89</v>
      </c>
      <c r="D6" s="1" t="s">
        <v>15</v>
      </c>
      <c r="G6" s="39"/>
      <c r="H6" s="66"/>
      <c r="I6" s="66"/>
      <c r="J6" s="67"/>
    </row>
    <row r="7" spans="2:10" x14ac:dyDescent="0.3">
      <c r="B7" s="9" t="s">
        <v>3</v>
      </c>
      <c r="C7" s="1" t="s">
        <v>90</v>
      </c>
      <c r="D7" s="1" t="s">
        <v>14</v>
      </c>
      <c r="G7" s="39"/>
      <c r="H7" s="66"/>
      <c r="I7" s="66"/>
      <c r="J7" s="67"/>
    </row>
    <row r="8" spans="2:10" x14ac:dyDescent="0.3">
      <c r="B8" s="9" t="s">
        <v>4</v>
      </c>
      <c r="C8" s="1" t="s">
        <v>87</v>
      </c>
      <c r="D8" s="1" t="s">
        <v>11</v>
      </c>
      <c r="G8" s="39"/>
      <c r="H8" s="66"/>
      <c r="I8" s="66"/>
      <c r="J8" s="67"/>
    </row>
    <row r="9" spans="2:10" x14ac:dyDescent="0.3">
      <c r="B9" s="9" t="s">
        <v>5</v>
      </c>
      <c r="C9" s="1"/>
      <c r="D9" s="1" t="s">
        <v>6</v>
      </c>
      <c r="G9" s="39"/>
      <c r="H9" s="66"/>
      <c r="I9" s="66"/>
      <c r="J9" s="67"/>
    </row>
    <row r="10" spans="2:10" x14ac:dyDescent="0.3">
      <c r="B10" s="10"/>
      <c r="G10" s="39"/>
      <c r="H10" s="66"/>
      <c r="I10" s="66"/>
      <c r="J10" s="67"/>
    </row>
    <row r="11" spans="2:10" x14ac:dyDescent="0.3">
      <c r="B11" s="11" t="s">
        <v>9</v>
      </c>
      <c r="C11" s="8">
        <f>COUNTA(H18:H37)</f>
        <v>20</v>
      </c>
      <c r="G11" s="39"/>
      <c r="H11" s="66"/>
      <c r="I11" s="66"/>
      <c r="J11" s="67"/>
    </row>
    <row r="12" spans="2:10" x14ac:dyDescent="0.3">
      <c r="B12" s="11" t="s">
        <v>23</v>
      </c>
      <c r="C12" s="8">
        <f>COUNTIF(H18:H37, B12)</f>
        <v>8</v>
      </c>
      <c r="E12" s="40"/>
      <c r="F12" s="40"/>
      <c r="G12" s="40"/>
      <c r="H12" s="66"/>
      <c r="I12" s="66"/>
      <c r="J12" s="67"/>
    </row>
    <row r="13" spans="2:10" x14ac:dyDescent="0.3">
      <c r="B13" s="11" t="s">
        <v>24</v>
      </c>
      <c r="C13" s="8">
        <f>COUNTIF(H18:H37, B13)</f>
        <v>4</v>
      </c>
      <c r="G13" s="39"/>
      <c r="H13" s="66"/>
      <c r="I13" s="66"/>
      <c r="J13" s="67"/>
    </row>
    <row r="14" spans="2:10" x14ac:dyDescent="0.3">
      <c r="B14" s="11" t="s">
        <v>40</v>
      </c>
      <c r="C14" s="8">
        <f>COUNTIF(H18:H37, B14)</f>
        <v>0</v>
      </c>
      <c r="G14" s="39"/>
      <c r="H14" s="66"/>
      <c r="I14" s="66"/>
      <c r="J14" s="67"/>
    </row>
    <row r="15" spans="2:10" x14ac:dyDescent="0.3">
      <c r="B15" s="11" t="s">
        <v>10</v>
      </c>
      <c r="C15" s="8">
        <f>COUNTIF(H18:H37, B15)</f>
        <v>8</v>
      </c>
      <c r="G15" s="39"/>
      <c r="H15" s="66"/>
      <c r="I15" s="66"/>
      <c r="J15" s="67"/>
    </row>
    <row r="16" spans="2:10" ht="17.25" thickBot="1" x14ac:dyDescent="0.35"/>
    <row r="17" spans="2:10" ht="18" customHeight="1" thickBot="1" x14ac:dyDescent="0.35">
      <c r="B17" s="14" t="s">
        <v>12</v>
      </c>
      <c r="C17" s="15" t="s">
        <v>7</v>
      </c>
      <c r="D17" s="15" t="s">
        <v>8</v>
      </c>
      <c r="E17" s="41" t="s">
        <v>13</v>
      </c>
      <c r="F17" s="16" t="s">
        <v>29</v>
      </c>
      <c r="G17" s="16" t="s">
        <v>86</v>
      </c>
      <c r="H17" s="16" t="s">
        <v>91</v>
      </c>
      <c r="I17" s="16" t="s">
        <v>16</v>
      </c>
      <c r="J17" s="17" t="s">
        <v>20</v>
      </c>
    </row>
    <row r="18" spans="2:10" ht="82.5" x14ac:dyDescent="0.3">
      <c r="B18" s="68" t="s">
        <v>22</v>
      </c>
      <c r="C18" s="70" t="s">
        <v>43</v>
      </c>
      <c r="D18" s="43" t="s">
        <v>47</v>
      </c>
      <c r="E18" s="19" t="s">
        <v>55</v>
      </c>
      <c r="F18" s="20" t="s">
        <v>82</v>
      </c>
      <c r="G18" s="20" t="s">
        <v>82</v>
      </c>
      <c r="H18" s="20" t="s">
        <v>82</v>
      </c>
      <c r="I18" s="21"/>
      <c r="J18" s="22" t="s">
        <v>53</v>
      </c>
    </row>
    <row r="19" spans="2:10" ht="115.5" x14ac:dyDescent="0.3">
      <c r="B19" s="69"/>
      <c r="C19" s="71"/>
      <c r="D19" s="44" t="s">
        <v>44</v>
      </c>
      <c r="E19" s="23" t="s">
        <v>60</v>
      </c>
      <c r="F19" s="24" t="s">
        <v>82</v>
      </c>
      <c r="G19" s="24" t="s">
        <v>82</v>
      </c>
      <c r="H19" s="24" t="s">
        <v>82</v>
      </c>
      <c r="I19" s="25"/>
      <c r="J19" s="26"/>
    </row>
    <row r="20" spans="2:10" ht="126" customHeight="1" x14ac:dyDescent="0.3">
      <c r="B20" s="69"/>
      <c r="C20" s="71"/>
      <c r="D20" s="45" t="s">
        <v>21</v>
      </c>
      <c r="E20" s="27" t="s">
        <v>62</v>
      </c>
      <c r="F20" s="24" t="s">
        <v>85</v>
      </c>
      <c r="G20" s="24" t="s">
        <v>82</v>
      </c>
      <c r="H20" s="24" t="s">
        <v>85</v>
      </c>
      <c r="I20" s="27" t="s">
        <v>94</v>
      </c>
      <c r="J20" s="26"/>
    </row>
    <row r="21" spans="2:10" ht="148.5" x14ac:dyDescent="0.3">
      <c r="B21" s="69"/>
      <c r="C21" s="71"/>
      <c r="D21" s="76" t="s">
        <v>18</v>
      </c>
      <c r="E21" s="23" t="s">
        <v>61</v>
      </c>
      <c r="F21" s="24" t="s">
        <v>82</v>
      </c>
      <c r="G21" s="24" t="s">
        <v>82</v>
      </c>
      <c r="H21" s="24" t="s">
        <v>82</v>
      </c>
      <c r="I21" s="23"/>
      <c r="J21" s="28"/>
    </row>
    <row r="22" spans="2:10" ht="136.5" customHeight="1" x14ac:dyDescent="0.3">
      <c r="B22" s="69"/>
      <c r="C22" s="71"/>
      <c r="D22" s="77"/>
      <c r="E22" s="23" t="s">
        <v>63</v>
      </c>
      <c r="F22" s="24" t="s">
        <v>82</v>
      </c>
      <c r="G22" s="24" t="s">
        <v>82</v>
      </c>
      <c r="H22" s="24" t="s">
        <v>82</v>
      </c>
      <c r="I22" s="23"/>
      <c r="J22" s="28" t="s">
        <v>46</v>
      </c>
    </row>
    <row r="23" spans="2:10" ht="195" customHeight="1" x14ac:dyDescent="0.3">
      <c r="B23" s="69"/>
      <c r="C23" s="71"/>
      <c r="D23" s="47" t="s">
        <v>17</v>
      </c>
      <c r="E23" s="23" t="s">
        <v>71</v>
      </c>
      <c r="F23" s="24" t="s">
        <v>41</v>
      </c>
      <c r="G23" s="24" t="s">
        <v>41</v>
      </c>
      <c r="H23" s="24" t="s">
        <v>41</v>
      </c>
      <c r="I23" s="23"/>
      <c r="J23" s="38" t="s">
        <v>54</v>
      </c>
    </row>
    <row r="24" spans="2:10" ht="113.25" customHeight="1" x14ac:dyDescent="0.3">
      <c r="B24" s="69"/>
      <c r="C24" s="71"/>
      <c r="D24" s="44" t="s">
        <v>48</v>
      </c>
      <c r="E24" s="23" t="s">
        <v>64</v>
      </c>
      <c r="F24" s="24" t="s">
        <v>41</v>
      </c>
      <c r="G24" s="24" t="s">
        <v>41</v>
      </c>
      <c r="H24" s="24" t="s">
        <v>41</v>
      </c>
      <c r="I24" s="23"/>
      <c r="J24" s="28"/>
    </row>
    <row r="25" spans="2:10" ht="82.5" x14ac:dyDescent="0.3">
      <c r="B25" s="69"/>
      <c r="C25" s="71"/>
      <c r="D25" s="48" t="s">
        <v>50</v>
      </c>
      <c r="E25" s="37" t="s">
        <v>65</v>
      </c>
      <c r="F25" s="24" t="s">
        <v>41</v>
      </c>
      <c r="G25" s="24" t="s">
        <v>41</v>
      </c>
      <c r="H25" s="24" t="s">
        <v>41</v>
      </c>
      <c r="I25" s="23"/>
      <c r="J25" s="28"/>
    </row>
    <row r="26" spans="2:10" ht="66" x14ac:dyDescent="0.3">
      <c r="B26" s="57" t="s">
        <v>27</v>
      </c>
      <c r="C26" s="60" t="s">
        <v>30</v>
      </c>
      <c r="D26" s="44" t="s">
        <v>31</v>
      </c>
      <c r="E26" s="23" t="s">
        <v>72</v>
      </c>
      <c r="F26" s="24" t="s">
        <v>41</v>
      </c>
      <c r="G26" s="24" t="s">
        <v>41</v>
      </c>
      <c r="H26" s="24" t="s">
        <v>41</v>
      </c>
      <c r="I26" s="23"/>
      <c r="J26" s="28"/>
    </row>
    <row r="27" spans="2:10" ht="82.5" x14ac:dyDescent="0.3">
      <c r="B27" s="58"/>
      <c r="C27" s="60"/>
      <c r="D27" s="44" t="s">
        <v>19</v>
      </c>
      <c r="E27" s="23" t="s">
        <v>73</v>
      </c>
      <c r="F27" s="24" t="s">
        <v>41</v>
      </c>
      <c r="G27" s="24" t="s">
        <v>41</v>
      </c>
      <c r="H27" s="24" t="s">
        <v>41</v>
      </c>
      <c r="I27" s="23"/>
      <c r="J27" s="53" t="s">
        <v>70</v>
      </c>
    </row>
    <row r="28" spans="2:10" ht="95.25" customHeight="1" x14ac:dyDescent="0.3">
      <c r="B28" s="58"/>
      <c r="C28" s="60"/>
      <c r="D28" s="44" t="s">
        <v>38</v>
      </c>
      <c r="E28" s="54" t="s">
        <v>75</v>
      </c>
      <c r="F28" s="24" t="s">
        <v>41</v>
      </c>
      <c r="G28" s="24" t="s">
        <v>41</v>
      </c>
      <c r="H28" s="24" t="s">
        <v>41</v>
      </c>
      <c r="I28" s="23"/>
      <c r="J28" s="28" t="s">
        <v>74</v>
      </c>
    </row>
    <row r="29" spans="2:10" ht="132" x14ac:dyDescent="0.3">
      <c r="B29" s="61"/>
      <c r="C29" s="49" t="s">
        <v>28</v>
      </c>
      <c r="D29" s="44" t="s">
        <v>37</v>
      </c>
      <c r="E29" s="23" t="s">
        <v>66</v>
      </c>
      <c r="F29" s="24" t="s">
        <v>41</v>
      </c>
      <c r="G29" s="24" t="s">
        <v>41</v>
      </c>
      <c r="H29" s="24" t="s">
        <v>41</v>
      </c>
      <c r="I29" s="23"/>
      <c r="J29" s="38" t="s">
        <v>67</v>
      </c>
    </row>
    <row r="30" spans="2:10" ht="66" x14ac:dyDescent="0.3">
      <c r="B30" s="57" t="s">
        <v>32</v>
      </c>
      <c r="C30" s="72" t="s">
        <v>33</v>
      </c>
      <c r="D30" s="45" t="s">
        <v>42</v>
      </c>
      <c r="E30" s="29" t="s">
        <v>68</v>
      </c>
      <c r="F30" s="24" t="s">
        <v>82</v>
      </c>
      <c r="G30" s="24" t="s">
        <v>82</v>
      </c>
      <c r="H30" s="24" t="s">
        <v>82</v>
      </c>
      <c r="I30" s="30"/>
      <c r="J30" s="31" t="s">
        <v>77</v>
      </c>
    </row>
    <row r="31" spans="2:10" ht="75" customHeight="1" x14ac:dyDescent="0.3">
      <c r="B31" s="58"/>
      <c r="C31" s="75"/>
      <c r="D31" s="45" t="s">
        <v>39</v>
      </c>
      <c r="E31" s="52" t="s">
        <v>69</v>
      </c>
      <c r="F31" s="24" t="s">
        <v>82</v>
      </c>
      <c r="G31" s="24" t="s">
        <v>82</v>
      </c>
      <c r="H31" s="24" t="s">
        <v>82</v>
      </c>
      <c r="I31" s="25"/>
      <c r="J31" s="31" t="s">
        <v>78</v>
      </c>
    </row>
    <row r="32" spans="2:10" ht="45" customHeight="1" x14ac:dyDescent="0.3">
      <c r="B32" s="58"/>
      <c r="C32" s="72" t="s">
        <v>34</v>
      </c>
      <c r="D32" s="45" t="s">
        <v>49</v>
      </c>
      <c r="E32" s="29" t="s">
        <v>59</v>
      </c>
      <c r="F32" s="24" t="s">
        <v>82</v>
      </c>
      <c r="G32" s="24" t="s">
        <v>82</v>
      </c>
      <c r="H32" s="24" t="s">
        <v>82</v>
      </c>
      <c r="I32" s="56"/>
      <c r="J32" s="31"/>
    </row>
    <row r="33" spans="2:11" ht="201.75" customHeight="1" x14ac:dyDescent="0.3">
      <c r="B33" s="58"/>
      <c r="C33" s="73"/>
      <c r="D33" s="46" t="s">
        <v>96</v>
      </c>
      <c r="E33" s="29" t="s">
        <v>79</v>
      </c>
      <c r="F33" s="24" t="s">
        <v>82</v>
      </c>
      <c r="G33" s="24" t="s">
        <v>82</v>
      </c>
      <c r="H33" s="24" t="s">
        <v>85</v>
      </c>
      <c r="I33" s="25" t="s">
        <v>93</v>
      </c>
      <c r="J33" s="31" t="s">
        <v>80</v>
      </c>
      <c r="K33" s="55"/>
    </row>
    <row r="34" spans="2:11" ht="82.5" x14ac:dyDescent="0.3">
      <c r="B34" s="58"/>
      <c r="C34" s="73"/>
      <c r="D34" s="45" t="s">
        <v>51</v>
      </c>
      <c r="E34" s="29" t="s">
        <v>76</v>
      </c>
      <c r="F34" s="24" t="s">
        <v>41</v>
      </c>
      <c r="G34" s="24" t="s">
        <v>41</v>
      </c>
      <c r="H34" s="24" t="s">
        <v>41</v>
      </c>
      <c r="I34" s="25"/>
      <c r="J34" s="31"/>
    </row>
    <row r="35" spans="2:11" ht="82.5" x14ac:dyDescent="0.3">
      <c r="B35" s="58"/>
      <c r="C35" s="73"/>
      <c r="D35" s="45" t="s">
        <v>35</v>
      </c>
      <c r="E35" s="29" t="s">
        <v>92</v>
      </c>
      <c r="F35" s="24" t="s">
        <v>83</v>
      </c>
      <c r="G35" s="24" t="s">
        <v>83</v>
      </c>
      <c r="H35" s="24" t="s">
        <v>85</v>
      </c>
      <c r="I35" s="56" t="s">
        <v>95</v>
      </c>
      <c r="J35" s="31"/>
    </row>
    <row r="36" spans="2:11" ht="123.75" customHeight="1" x14ac:dyDescent="0.3">
      <c r="B36" s="58"/>
      <c r="C36" s="73"/>
      <c r="D36" s="51" t="s">
        <v>56</v>
      </c>
      <c r="E36" s="52" t="s">
        <v>57</v>
      </c>
      <c r="F36" s="36" t="s">
        <v>82</v>
      </c>
      <c r="G36" s="36" t="s">
        <v>82</v>
      </c>
      <c r="H36" s="36" t="s">
        <v>82</v>
      </c>
      <c r="I36" s="25"/>
      <c r="J36" s="31" t="s">
        <v>52</v>
      </c>
    </row>
    <row r="37" spans="2:11" ht="66.75" thickBot="1" x14ac:dyDescent="0.35">
      <c r="B37" s="59"/>
      <c r="C37" s="74"/>
      <c r="D37" s="50" t="s">
        <v>97</v>
      </c>
      <c r="E37" s="32" t="s">
        <v>58</v>
      </c>
      <c r="F37" s="33" t="s">
        <v>82</v>
      </c>
      <c r="G37" s="33" t="s">
        <v>82</v>
      </c>
      <c r="H37" s="33" t="s">
        <v>85</v>
      </c>
      <c r="I37" s="34" t="s">
        <v>99</v>
      </c>
      <c r="J37" s="35"/>
    </row>
    <row r="38" spans="2:11" x14ac:dyDescent="0.3">
      <c r="E38" s="42"/>
      <c r="F38" s="42"/>
      <c r="G38" s="3"/>
      <c r="H38" s="3"/>
      <c r="I38" s="3"/>
    </row>
    <row r="39" spans="2:11" x14ac:dyDescent="0.3">
      <c r="B39" s="18" t="s">
        <v>45</v>
      </c>
      <c r="E39" s="42"/>
      <c r="F39" s="42"/>
      <c r="G39" s="3"/>
      <c r="H39" s="3"/>
      <c r="I39" s="3"/>
    </row>
    <row r="44" spans="2:11" x14ac:dyDescent="0.3">
      <c r="J44" s="6"/>
    </row>
    <row r="51" spans="10:10" x14ac:dyDescent="0.3">
      <c r="J51" s="5"/>
    </row>
    <row r="53" spans="10:10" x14ac:dyDescent="0.3">
      <c r="J53" s="4"/>
    </row>
  </sheetData>
  <mergeCells count="12">
    <mergeCell ref="B30:B37"/>
    <mergeCell ref="C26:C28"/>
    <mergeCell ref="B26:B29"/>
    <mergeCell ref="B2:J2"/>
    <mergeCell ref="H4:I4"/>
    <mergeCell ref="H5:I15"/>
    <mergeCell ref="J5:J15"/>
    <mergeCell ref="B18:B25"/>
    <mergeCell ref="C18:C25"/>
    <mergeCell ref="C32:C37"/>
    <mergeCell ref="C30:C31"/>
    <mergeCell ref="D21:D22"/>
  </mergeCells>
  <phoneticPr fontId="1" type="noConversion"/>
  <conditionalFormatting sqref="E18:E23 I43 I18:J25 E26:E37 H18:H23 H26:J37">
    <cfRule type="expression" dxfId="19" priority="26">
      <formula>OR($H18="N/A", $H18="SKIP")</formula>
    </cfRule>
  </conditionalFormatting>
  <conditionalFormatting sqref="H18:H23 H26:H37">
    <cfRule type="expression" dxfId="18" priority="25">
      <formula>$H18="NG"</formula>
    </cfRule>
  </conditionalFormatting>
  <conditionalFormatting sqref="E25 H25">
    <cfRule type="expression" dxfId="17" priority="24">
      <formula>OR($H25="N/A", $H25="SKIP")</formula>
    </cfRule>
  </conditionalFormatting>
  <conditionalFormatting sqref="H25">
    <cfRule type="expression" dxfId="16" priority="23">
      <formula>$H25="NG"</formula>
    </cfRule>
  </conditionalFormatting>
  <conditionalFormatting sqref="E24 H24">
    <cfRule type="expression" dxfId="15" priority="22">
      <formula>OR($H24="N/A", $H24="SKIP")</formula>
    </cfRule>
  </conditionalFormatting>
  <conditionalFormatting sqref="H24">
    <cfRule type="expression" dxfId="14" priority="21">
      <formula>$H24="NG"</formula>
    </cfRule>
  </conditionalFormatting>
  <conditionalFormatting sqref="G26:G37">
    <cfRule type="expression" dxfId="13" priority="14">
      <formula>OR($H26="N/A", $H26="SKIP")</formula>
    </cfRule>
  </conditionalFormatting>
  <conditionalFormatting sqref="G26:G37">
    <cfRule type="expression" dxfId="12" priority="13">
      <formula>$H26="NG"</formula>
    </cfRule>
  </conditionalFormatting>
  <conditionalFormatting sqref="G18:G23">
    <cfRule type="expression" dxfId="11" priority="12">
      <formula>OR($H18="N/A", $H18="SKIP")</formula>
    </cfRule>
  </conditionalFormatting>
  <conditionalFormatting sqref="G18:G23">
    <cfRule type="expression" dxfId="10" priority="11">
      <formula>$H18="NG"</formula>
    </cfRule>
  </conditionalFormatting>
  <conditionalFormatting sqref="G25">
    <cfRule type="expression" dxfId="9" priority="10">
      <formula>OR($H25="N/A", $H25="SKIP")</formula>
    </cfRule>
  </conditionalFormatting>
  <conditionalFormatting sqref="G25">
    <cfRule type="expression" dxfId="8" priority="9">
      <formula>$H25="NG"</formula>
    </cfRule>
  </conditionalFormatting>
  <conditionalFormatting sqref="G24">
    <cfRule type="expression" dxfId="7" priority="8">
      <formula>OR($H24="N/A", $H24="SKIP")</formula>
    </cfRule>
  </conditionalFormatting>
  <conditionalFormatting sqref="G24">
    <cfRule type="expression" dxfId="6" priority="7">
      <formula>$H24="NG"</formula>
    </cfRule>
  </conditionalFormatting>
  <conditionalFormatting sqref="F26:F37 F18:F23">
    <cfRule type="expression" dxfId="5" priority="6">
      <formula>OR($H18="N/A", $H18="SKIP")</formula>
    </cfRule>
  </conditionalFormatting>
  <conditionalFormatting sqref="F18:F23 F26:F37">
    <cfRule type="expression" dxfId="4" priority="5">
      <formula>$H18="NG"</formula>
    </cfRule>
  </conditionalFormatting>
  <conditionalFormatting sqref="F25">
    <cfRule type="expression" dxfId="3" priority="4">
      <formula>OR($H25="N/A", $H25="SKIP")</formula>
    </cfRule>
  </conditionalFormatting>
  <conditionalFormatting sqref="F25">
    <cfRule type="expression" dxfId="2" priority="3">
      <formula>$H25="NG"</formula>
    </cfRule>
  </conditionalFormatting>
  <conditionalFormatting sqref="F24">
    <cfRule type="expression" dxfId="1" priority="2">
      <formula>OR($H24="N/A", $H24="SKIP")</formula>
    </cfRule>
  </conditionalFormatting>
  <conditionalFormatting sqref="F24">
    <cfRule type="expression" dxfId="0" priority="1">
      <formula>$H24="NG"</formula>
    </cfRule>
  </conditionalFormatting>
  <dataValidations count="1">
    <dataValidation type="list" allowBlank="1" showInputMessage="1" showErrorMessage="1" sqref="F18:H37">
      <formula1>$B$12:$B$15</formula1>
    </dataValidation>
  </dataValidations>
  <pageMargins left="0.7" right="0.7" top="0.75" bottom="0.75" header="0.3" footer="0.3"/>
  <pageSetup paperSize="8" scale="29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워크시트" dvAspect="DVASPECT_ICON" shapeId="1025" r:id="rId4">
          <objectPr defaultSize="0" autoPict="0" r:id="rId5">
            <anchor moveWithCells="1">
              <from>
                <xdr:col>9</xdr:col>
                <xdr:colOff>1590675</xdr:colOff>
                <xdr:row>27</xdr:row>
                <xdr:rowOff>171450</xdr:rowOff>
              </from>
              <to>
                <xdr:col>9</xdr:col>
                <xdr:colOff>2028825</xdr:colOff>
                <xdr:row>27</xdr:row>
                <xdr:rowOff>1076325</xdr:rowOff>
              </to>
            </anchor>
          </objectPr>
        </oleObject>
      </mc:Choice>
      <mc:Fallback>
        <oleObject progId="워크시트" dvAspect="DVASPECT_ICON" shapeId="1025" r:id="rId4"/>
      </mc:Fallback>
    </mc:AlternateContent>
    <mc:AlternateContent xmlns:mc="http://schemas.openxmlformats.org/markup-compatibility/2006">
      <mc:Choice Requires="x14">
        <oleObject progId="포장기 셸 개체" shapeId="1034" r:id="rId6">
          <objectPr defaultSize="0" r:id="rId7">
            <anchor moveWithCells="1">
              <from>
                <xdr:col>8</xdr:col>
                <xdr:colOff>2324100</xdr:colOff>
                <xdr:row>4</xdr:row>
                <xdr:rowOff>180975</xdr:rowOff>
              </from>
              <to>
                <xdr:col>8</xdr:col>
                <xdr:colOff>3371850</xdr:colOff>
                <xdr:row>7</xdr:row>
                <xdr:rowOff>76200</xdr:rowOff>
              </to>
            </anchor>
          </objectPr>
        </oleObject>
      </mc:Choice>
      <mc:Fallback>
        <oleObject progId="포장기 셸 개체" shapeId="1034" r:id="rId6"/>
      </mc:Fallback>
    </mc:AlternateContent>
    <mc:AlternateContent xmlns:mc="http://schemas.openxmlformats.org/markup-compatibility/2006">
      <mc:Choice Requires="x14">
        <oleObject progId="포장기 셸 개체" shapeId="1037" r:id="rId8">
          <objectPr defaultSize="0" r:id="rId9">
            <anchor moveWithCells="1">
              <from>
                <xdr:col>8</xdr:col>
                <xdr:colOff>3552825</xdr:colOff>
                <xdr:row>4</xdr:row>
                <xdr:rowOff>161925</xdr:rowOff>
              </from>
              <to>
                <xdr:col>8</xdr:col>
                <xdr:colOff>4867275</xdr:colOff>
                <xdr:row>7</xdr:row>
                <xdr:rowOff>47625</xdr:rowOff>
              </to>
            </anchor>
          </objectPr>
        </oleObject>
      </mc:Choice>
      <mc:Fallback>
        <oleObject progId="포장기 셸 개체" shapeId="1037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(서버) 코드 리뷰 결과서</vt:lpstr>
      <vt:lpstr>'(서버) 코드 리뷰 결과서'!Print_Area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</dc:creator>
  <cp:lastModifiedBy>KimJH</cp:lastModifiedBy>
  <cp:lastPrinted>2020-07-23T09:03:27Z</cp:lastPrinted>
  <dcterms:created xsi:type="dcterms:W3CDTF">2017-12-01T02:39:52Z</dcterms:created>
  <dcterms:modified xsi:type="dcterms:W3CDTF">2026-02-09T04:27:44Z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D:\11.기술혁신팀\10.표준스크립트\1_스크립트_검증결과서\9_SOEInsert\SOEInsert_스크립트_검증결과서_1.0.0_T03_20190923_rev01.xlsx</vt:lpwstr>
  </property>
</Properties>
</file>